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pak" sheetId="1" state="visible" r:id="rId1"/>
    <sheet xmlns:r="http://schemas.openxmlformats.org/officeDocument/2006/relationships" name="Bütçe Döküm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9">
    <font>
      <name val="Calibri"/>
      <family val="2"/>
      <color theme="1"/>
      <sz val="11"/>
      <scheme val="minor"/>
    </font>
    <font>
      <name val="Arial"/>
      <b val="1"/>
      <color rgb="001F2A44"/>
      <sz val="11"/>
    </font>
    <font>
      <name val="Arial"/>
      <b val="1"/>
      <sz val="10"/>
    </font>
    <font>
      <name val="Arial"/>
      <sz val="10"/>
    </font>
    <font>
      <name val="Arial"/>
      <i val="1"/>
      <color rgb="00555555"/>
      <sz val="9"/>
    </font>
    <font>
      <name val="Arial"/>
      <b val="1"/>
      <color rgb="00FFFFFF"/>
      <sz val="14"/>
    </font>
    <font>
      <name val="Arial"/>
      <i val="1"/>
      <color rgb="00555555"/>
    </font>
    <font>
      <name val="Arial"/>
      <b val="1"/>
      <color rgb="00FFFFFF"/>
      <sz val="11"/>
    </font>
    <font>
      <name val="Arial"/>
      <color rgb="00008000"/>
      <sz val="10"/>
    </font>
  </fonts>
  <fills count="7">
    <fill>
      <patternFill/>
    </fill>
    <fill>
      <patternFill patternType="gray125"/>
    </fill>
    <fill>
      <patternFill patternType="solid">
        <fgColor rgb="00DCE3F0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C9D6EA"/>
      </patternFill>
    </fill>
    <fill>
      <patternFill patternType="solid">
        <fgColor rgb="001F2A4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5" fillId="6" borderId="0" applyAlignment="1" pivotButton="0" quotePrefix="0" xfId="0">
      <alignment horizontal="center" vertical="center"/>
    </xf>
    <xf numFmtId="0" fontId="0" fillId="6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7" fillId="6" borderId="0" pivotButton="0" quotePrefix="0" xfId="0"/>
    <xf numFmtId="0" fontId="7" fillId="6" borderId="0" applyAlignment="1" pivotButton="0" quotePrefix="0" xfId="0">
      <alignment horizontal="right"/>
    </xf>
    <xf numFmtId="0" fontId="3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0" borderId="1" pivotButton="0" quotePrefix="0" xfId="0"/>
    <xf numFmtId="164" fontId="8" fillId="0" borderId="1" applyAlignment="1" pivotButton="0" quotePrefix="0" xfId="0">
      <alignment horizontal="right"/>
    </xf>
    <xf numFmtId="0" fontId="1" fillId="5" borderId="0" pivotButton="0" quotePrefix="0" xfId="0"/>
    <xf numFmtId="0" fontId="0" fillId="5" borderId="0" pivotButton="0" quotePrefix="0" xfId="0"/>
    <xf numFmtId="164" fontId="1" fillId="5" borderId="0" applyAlignment="1" pivotButton="0" quotePrefix="0" xfId="0">
      <alignment horizontal="right"/>
    </xf>
    <xf numFmtId="0" fontId="3" fillId="0" borderId="0" applyAlignment="1" pivotButton="0" quotePrefix="0" xfId="0">
      <alignment horizontal="left" vertical="center" wrapText="1"/>
    </xf>
    <xf numFmtId="0" fontId="1" fillId="2" borderId="1" pivotButton="0" quotePrefix="0" xfId="0"/>
    <xf numFmtId="0" fontId="0" fillId="2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4" borderId="0" pivotButton="0" quotePrefix="0" xfId="0"/>
    <xf numFmtId="0" fontId="1" fillId="4" borderId="0" applyAlignment="1" pivotButton="0" quotePrefix="0" xfId="0">
      <alignment horizontal="right"/>
    </xf>
    <xf numFmtId="164" fontId="1" fillId="4" borderId="0" applyAlignment="1" pivotButton="0" quotePrefix="0" xfId="0">
      <alignment horizontal="right"/>
    </xf>
    <xf numFmtId="0" fontId="4" fillId="0" borderId="0" pivotButton="0" quotePrefix="0" xfId="0"/>
    <xf numFmtId="9" fontId="0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3" fillId="4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33"/>
  <sheetViews>
    <sheetView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26" customWidth="1" min="3" max="3"/>
    <col width="20" customWidth="1" min="4" max="4"/>
    <col width="20" customWidth="1" min="5" max="5"/>
  </cols>
  <sheetData>
    <row r="1">
      <c r="B1" s="1" t="inlineStr">
        <is>
          <t>BÜTÇE TEKLİF FORMU</t>
        </is>
      </c>
      <c r="C1" s="2" t="n"/>
      <c r="D1" s="2" t="n"/>
      <c r="E1" s="2" t="n"/>
    </row>
    <row r="2">
      <c r="B2" s="3" t="inlineStr">
        <is>
          <t>Marka Yeniden İnşa + İletişim Sistemi</t>
        </is>
      </c>
    </row>
    <row r="4">
      <c r="B4" s="4" t="inlineStr">
        <is>
          <t>MARKA</t>
        </is>
      </c>
      <c r="C4" s="5" t="inlineStr">
        <is>
          <t>Özgür Irmak Protez ve Ortez Merkezi</t>
        </is>
      </c>
    </row>
    <row r="5">
      <c r="B5" s="4" t="inlineStr">
        <is>
          <t>AJANS</t>
        </is>
      </c>
      <c r="C5" s="5" t="inlineStr">
        <is>
          <t>Steps on Clouds</t>
        </is>
      </c>
    </row>
    <row r="6">
      <c r="B6" s="4" t="inlineStr">
        <is>
          <t>HAZIRLAYAN</t>
        </is>
      </c>
      <c r="C6" s="5" t="inlineStr">
        <is>
          <t>Ayhan Erden</t>
        </is>
      </c>
    </row>
    <row r="7">
      <c r="B7" s="4" t="inlineStr">
        <is>
          <t>TARİH</t>
        </is>
      </c>
      <c r="C7" s="6" t="inlineStr"/>
    </row>
    <row r="8">
      <c r="B8" s="4" t="inlineStr">
        <is>
          <t>GEÇERLİLİK</t>
        </is>
      </c>
      <c r="C8" s="5" t="inlineStr">
        <is>
          <t>Teklif tarihinden itibaren 7 gün</t>
        </is>
      </c>
    </row>
    <row r="9">
      <c r="B9" s="4" t="inlineStr">
        <is>
          <t>PARA BİRİMİ</t>
        </is>
      </c>
      <c r="C9" s="6" t="inlineStr">
        <is>
          <t>[TL / Döviz — netleşecek]</t>
        </is>
      </c>
    </row>
    <row r="11">
      <c r="B11" s="7" t="inlineStr">
        <is>
          <t>ÖZET</t>
        </is>
      </c>
      <c r="C11" s="7" t="n"/>
      <c r="D11" s="7" t="n"/>
      <c r="E11" s="8" t="inlineStr">
        <is>
          <t>Toplam</t>
        </is>
      </c>
    </row>
    <row r="12">
      <c r="B12" s="9" t="inlineStr">
        <is>
          <t>1 · Kurumsal Çekirdek (Marka Kimliği)</t>
        </is>
      </c>
      <c r="C12" s="10" t="n"/>
      <c r="D12" s="11" t="inlineStr">
        <is>
          <t>tek seferlik</t>
        </is>
      </c>
      <c r="E12" s="12">
        <f>'Bütçe Dökümü'!E14</f>
        <v/>
      </c>
    </row>
    <row r="13">
      <c r="B13" s="9" t="inlineStr">
        <is>
          <t>2 · Sistem — Web Sitesi (Wix)</t>
        </is>
      </c>
      <c r="C13" s="10" t="n"/>
      <c r="D13" s="11" t="inlineStr">
        <is>
          <t>tek seferlik</t>
        </is>
      </c>
      <c r="E13" s="12">
        <f>'Bütçe Dökümü'!E27</f>
        <v/>
      </c>
    </row>
    <row r="14">
      <c r="B14" s="9" t="inlineStr">
        <is>
          <t>3 · Sistem — Sosyal Medya Kurulumu</t>
        </is>
      </c>
      <c r="C14" s="10" t="n"/>
      <c r="D14" s="11" t="inlineStr">
        <is>
          <t>tek seferlik</t>
        </is>
      </c>
      <c r="E14" s="12">
        <f>'Bütçe Dökümü'!E33</f>
        <v/>
      </c>
    </row>
    <row r="15">
      <c r="B15" s="9" t="inlineStr">
        <is>
          <t>4 · Sistem — Kampanya Çekimi (D1)</t>
        </is>
      </c>
      <c r="C15" s="10" t="n"/>
      <c r="D15" s="11" t="inlineStr">
        <is>
          <t>tek seferlik</t>
        </is>
      </c>
      <c r="E15" s="12">
        <f>'Bütçe Dökümü'!E45</f>
        <v/>
      </c>
    </row>
    <row r="16">
      <c r="B16" s="13" t="inlineStr">
        <is>
          <t>TEK SEFERLİK GENEL TOPLAM (KDV hariç)</t>
        </is>
      </c>
      <c r="C16" s="14" t="n"/>
      <c r="D16" s="14" t="n"/>
      <c r="E16" s="15">
        <f>'Bütçe Dökümü'!E50</f>
        <v/>
      </c>
    </row>
    <row r="18">
      <c r="B18" s="9" t="inlineStr">
        <is>
          <t>5 · Aylık — Strateji + Görsel İçerik</t>
        </is>
      </c>
      <c r="C18" s="10" t="n"/>
      <c r="D18" s="11" t="inlineStr">
        <is>
          <t>/ ay</t>
        </is>
      </c>
      <c r="E18" s="12">
        <f>'Bütçe Dökümü'!E60</f>
        <v/>
      </c>
    </row>
    <row r="19">
      <c r="B19" s="13" t="inlineStr">
        <is>
          <t>Aylık Dönem Toplamı</t>
        </is>
      </c>
      <c r="C19" s="14" t="n"/>
      <c r="D19" s="14" t="n"/>
      <c r="E19" s="15">
        <f>'Bütçe Dökümü'!E61</f>
        <v/>
      </c>
    </row>
    <row r="21">
      <c r="B21" s="7" t="inlineStr">
        <is>
          <t>YAPILACAK İŞE İLİŞKİN ESASLAR</t>
        </is>
      </c>
      <c r="C21" s="7" t="n"/>
      <c r="D21" s="7" t="n"/>
      <c r="E21" s="7" t="n"/>
    </row>
    <row r="22">
      <c r="B22" s="16" t="inlineStr">
        <is>
          <t>► Bedeller KDV hariçtir (+KDV).</t>
        </is>
      </c>
    </row>
    <row r="23">
      <c r="B23" s="16" t="inlineStr">
        <is>
          <t>► Tek seferlik kalemler: %50 avans, kalan teslimde / 30 gün. Aylık: ayın 1'inde.</t>
        </is>
      </c>
    </row>
    <row r="24">
      <c r="B24" s="16" t="inlineStr">
        <is>
          <t>► Bu teklif, veriliş tarihinden itibaren 7 gün geçerlidir.</t>
        </is>
      </c>
    </row>
    <row r="25">
      <c r="B25" s="16" t="inlineStr">
        <is>
          <t>► Kampanya çekimi telifi 5846 sayılı FSEK'e tabidir; eser sahibi Ayhan Erden. Detay döküm ayrı çekim bütçe formunda.</t>
        </is>
      </c>
    </row>
    <row r="26">
      <c r="B26" s="16" t="inlineStr">
        <is>
          <t>► Yurtdışı / global kullanım (web + 4 ülke sosyal + reklam) için global kullanım telifi uygulanır.</t>
        </is>
      </c>
    </row>
    <row r="27">
      <c r="B27" s="16" t="inlineStr">
        <is>
          <t>► HUKUK GATE: Web ve tüm medikal içerik, yayından önce avukat onayından geçer (Sağlık Bakanlığı sağlık reklamı mevzuatı). İçerik/yayın uyumu bu teklif kapsamı dışındadır (avukat müşteri tarafında).</t>
        </is>
      </c>
    </row>
    <row r="28">
      <c r="B28" s="16" t="inlineStr">
        <is>
          <t>► Kapsam dışı (ayrı bütçe): ek prodüksiyon/çekim, reklam medya bütçesi, günlük topluluk yönetimi, fiziksel baskı.</t>
        </is>
      </c>
    </row>
    <row r="29">
      <c r="B29" s="16" t="inlineStr">
        <is>
          <t>► Marka adı korunur; ozgurprotez + biyonikprotezler tek master-brand altında birleşir (öneri).</t>
        </is>
      </c>
    </row>
    <row r="30">
      <c r="B30" s="16" t="inlineStr">
        <is>
          <t>► Bütçe onayından sonra yapılacak değişiklikler bütçeyi -/+ etkiler.</t>
        </is>
      </c>
    </row>
    <row r="31">
      <c r="B31" s="16" t="inlineStr">
        <is>
          <t>► Teklif imza onaylı geri gönderildiğinde kabul edilmiş sayılır.</t>
        </is>
      </c>
    </row>
    <row r="33">
      <c r="B33" s="4" t="inlineStr">
        <is>
          <t>Onay (İmza):</t>
        </is>
      </c>
    </row>
  </sheetData>
  <mergeCells count="12">
    <mergeCell ref="B31:E31"/>
    <mergeCell ref="B23:E23"/>
    <mergeCell ref="B26:E26"/>
    <mergeCell ref="B1:E1"/>
    <mergeCell ref="B27:E27"/>
    <mergeCell ref="B30:E30"/>
    <mergeCell ref="B29:E29"/>
    <mergeCell ref="B25:E25"/>
    <mergeCell ref="B24:E24"/>
    <mergeCell ref="B2:E2"/>
    <mergeCell ref="B28:E28"/>
    <mergeCell ref="B22:E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E63"/>
  <sheetViews>
    <sheetView workbookViewId="0">
      <selection activeCell="A1" sqref="A1"/>
    </sheetView>
  </sheetViews>
  <sheetFormatPr baseColWidth="8" defaultRowHeight="15"/>
  <cols>
    <col width="3" customWidth="1" min="1" max="1"/>
    <col width="52" customWidth="1" min="2" max="2"/>
    <col width="8" customWidth="1" min="3" max="3"/>
    <col width="16" customWidth="1" min="4" max="4"/>
    <col width="18" customWidth="1" min="5" max="5"/>
  </cols>
  <sheetData>
    <row r="1">
      <c r="B1" s="17" t="inlineStr">
        <is>
          <t>1 · KURUMSAL ÇEKİRDEK (Marka Kimliği) — tek seferlik</t>
        </is>
      </c>
      <c r="C1" s="18" t="n"/>
      <c r="D1" s="18" t="n"/>
      <c r="E1" s="18" t="n"/>
    </row>
    <row r="2">
      <c r="B2" s="19" t="inlineStr">
        <is>
          <t>Kalem</t>
        </is>
      </c>
      <c r="C2" s="20" t="inlineStr">
        <is>
          <t>Adet</t>
        </is>
      </c>
      <c r="D2" s="20" t="inlineStr">
        <is>
          <t>Birim Fiyatı</t>
        </is>
      </c>
      <c r="E2" s="20" t="inlineStr">
        <is>
          <t>Toplam</t>
        </is>
      </c>
    </row>
    <row r="3">
      <c r="B3" s="9" t="inlineStr">
        <is>
          <t>Konumlandırma &amp; strateji</t>
        </is>
      </c>
      <c r="C3" s="21" t="n">
        <v>1</v>
      </c>
      <c r="D3" s="22" t="n"/>
      <c r="E3" s="23">
        <f>C3*D3</f>
        <v/>
      </c>
    </row>
    <row r="4">
      <c r="B4" s="9" t="inlineStr">
        <is>
          <t>Mesaj mimarisi (TR/EN/AR/RU)</t>
        </is>
      </c>
      <c r="C4" s="21" t="n">
        <v>1</v>
      </c>
      <c r="D4" s="22" t="n"/>
      <c r="E4" s="23">
        <f>C4*D4</f>
        <v/>
      </c>
    </row>
    <row r="5">
      <c r="B5" s="9" t="inlineStr">
        <is>
          <t>Marka sesi &amp; ton rehberi</t>
        </is>
      </c>
      <c r="C5" s="21" t="n">
        <v>1</v>
      </c>
      <c r="D5" s="22" t="n"/>
      <c r="E5" s="23">
        <f>C5*D5</f>
        <v/>
      </c>
    </row>
    <row r="6">
      <c r="B6" s="9" t="inlineStr">
        <is>
          <t>İsim, tagline &amp; marka mimarisi (tek master-brand)</t>
        </is>
      </c>
      <c r="C6" s="21" t="n">
        <v>1</v>
      </c>
      <c r="D6" s="22" t="n"/>
      <c r="E6" s="23">
        <f>C6*D6</f>
        <v/>
      </c>
    </row>
    <row r="7">
      <c r="B7" s="9" t="inlineStr">
        <is>
          <t>Logo tasarımı + varyasyonlar</t>
        </is>
      </c>
      <c r="C7" s="21" t="n">
        <v>1</v>
      </c>
      <c r="D7" s="22" t="n"/>
      <c r="E7" s="23">
        <f>C7*D7</f>
        <v/>
      </c>
    </row>
    <row r="8">
      <c r="B8" s="9" t="inlineStr">
        <is>
          <t>Logo do's / don'ts</t>
        </is>
      </c>
      <c r="C8" s="21" t="n">
        <v>1</v>
      </c>
      <c r="D8" s="22" t="n"/>
      <c r="E8" s="23">
        <f>C8*D8</f>
        <v/>
      </c>
    </row>
    <row r="9">
      <c r="B9" s="9" t="inlineStr">
        <is>
          <t>Renk paleti</t>
        </is>
      </c>
      <c r="C9" s="21" t="n">
        <v>1</v>
      </c>
      <c r="D9" s="22" t="n"/>
      <c r="E9" s="23">
        <f>C9*D9</f>
        <v/>
      </c>
    </row>
    <row r="10">
      <c r="B10" s="9" t="inlineStr">
        <is>
          <t>Tipografi sistemi (Latin+Kiril+Arap)</t>
        </is>
      </c>
      <c r="C10" s="21" t="n">
        <v>1</v>
      </c>
      <c r="D10" s="22" t="n"/>
      <c r="E10" s="23">
        <f>C10*D10</f>
        <v/>
      </c>
    </row>
    <row r="11">
      <c r="B11" s="9" t="inlineStr">
        <is>
          <t>Görsel dil / art direction</t>
        </is>
      </c>
      <c r="C11" s="21" t="n">
        <v>1</v>
      </c>
      <c r="D11" s="22" t="n"/>
      <c r="E11" s="23">
        <f>C11*D11</f>
        <v/>
      </c>
    </row>
    <row r="12">
      <c r="B12" s="9" t="inlineStr">
        <is>
          <t>Brand guide (marka kılavuzu)</t>
        </is>
      </c>
      <c r="C12" s="21" t="n">
        <v>1</v>
      </c>
      <c r="D12" s="22" t="n"/>
      <c r="E12" s="23">
        <f>C12*D12</f>
        <v/>
      </c>
    </row>
    <row r="13">
      <c r="B13" s="9" t="inlineStr">
        <is>
          <t>Temel uygulama şablonları</t>
        </is>
      </c>
      <c r="C13" s="21" t="n">
        <v>1</v>
      </c>
      <c r="D13" s="22" t="n"/>
      <c r="E13" s="23">
        <f>C13*D13</f>
        <v/>
      </c>
    </row>
    <row r="14">
      <c r="B14" s="24" t="n"/>
      <c r="C14" s="24" t="n"/>
      <c r="D14" s="25" t="inlineStr">
        <is>
          <t>ÇEKİRDEK TOPLAM</t>
        </is>
      </c>
      <c r="E14" s="26">
        <f>SUM(E3:E13)</f>
        <v/>
      </c>
    </row>
    <row r="16">
      <c r="B16" s="17" t="inlineStr">
        <is>
          <t>2 · SİSTEM — Web Sitesi (Wix) — tek seferlik</t>
        </is>
      </c>
      <c r="C16" s="18" t="n"/>
      <c r="D16" s="18" t="n"/>
      <c r="E16" s="18" t="n"/>
    </row>
    <row r="17">
      <c r="B17" s="19" t="inlineStr">
        <is>
          <t>Kalem</t>
        </is>
      </c>
      <c r="C17" s="20" t="inlineStr">
        <is>
          <t>Adet</t>
        </is>
      </c>
      <c r="D17" s="20" t="inlineStr">
        <is>
          <t>Birim Fiyatı</t>
        </is>
      </c>
      <c r="E17" s="20" t="inlineStr">
        <is>
          <t>Toplam</t>
        </is>
      </c>
    </row>
    <row r="18">
      <c r="B18" s="9" t="inlineStr">
        <is>
          <t>Site haritası &amp; yapı (4 dil + AR RTL)</t>
        </is>
      </c>
      <c r="C18" s="21" t="n">
        <v>1</v>
      </c>
      <c r="D18" s="22" t="n"/>
      <c r="E18" s="23">
        <f>C18*D18</f>
        <v/>
      </c>
    </row>
    <row r="19">
      <c r="B19" s="9" t="inlineStr">
        <is>
          <t>İçerik yazımı (compliance-aware)</t>
        </is>
      </c>
      <c r="C19" s="21" t="n">
        <v>1</v>
      </c>
      <c r="D19" s="22" t="n"/>
      <c r="E19" s="23">
        <f>C19*D19</f>
        <v/>
      </c>
    </row>
    <row r="20">
      <c r="B20" s="9" t="inlineStr">
        <is>
          <t>Çeviri / lokalizasyon (EN/AR/RU)</t>
        </is>
      </c>
      <c r="C20" s="21" t="n">
        <v>1</v>
      </c>
      <c r="D20" s="22" t="n"/>
      <c r="E20" s="23">
        <f>C20*D20</f>
        <v/>
      </c>
    </row>
    <row r="21">
      <c r="B21" s="9" t="inlineStr">
        <is>
          <t>UI tasarım</t>
        </is>
      </c>
      <c r="C21" s="21" t="n">
        <v>1</v>
      </c>
      <c r="D21" s="22" t="n"/>
      <c r="E21" s="23">
        <f>C21*D21</f>
        <v/>
      </c>
    </row>
    <row r="22">
      <c r="B22" s="9" t="inlineStr">
        <is>
          <t>Geliştirme &amp; responsive (Wix)</t>
        </is>
      </c>
      <c r="C22" s="21" t="n">
        <v>1</v>
      </c>
      <c r="D22" s="22" t="n"/>
      <c r="E22" s="23">
        <f>C22*D22</f>
        <v/>
      </c>
    </row>
    <row r="23">
      <c r="B23" s="9" t="inlineStr">
        <is>
          <t>SEO temel kurulum</t>
        </is>
      </c>
      <c r="C23" s="21" t="n">
        <v>1</v>
      </c>
      <c r="D23" s="22" t="n"/>
      <c r="E23" s="23">
        <f>C23*D23</f>
        <v/>
      </c>
    </row>
    <row r="24">
      <c r="B24" s="9" t="inlineStr">
        <is>
          <t>İletişim / randevu entegrasyonu</t>
        </is>
      </c>
      <c r="C24" s="21" t="n">
        <v>1</v>
      </c>
      <c r="D24" s="22" t="n"/>
      <c r="E24" s="23">
        <f>C24*D24</f>
        <v/>
      </c>
    </row>
    <row r="25">
      <c r="B25" s="9" t="inlineStr">
        <is>
          <t>Yasal sayfalar (KVKK/çerez/gizlilik)</t>
        </is>
      </c>
      <c r="C25" s="21" t="n">
        <v>1</v>
      </c>
      <c r="D25" s="22" t="n"/>
      <c r="E25" s="23">
        <f>C25*D25</f>
        <v/>
      </c>
    </row>
    <row r="26">
      <c r="B26" s="9" t="inlineStr">
        <is>
          <t>Test &amp; yayın (avukat onayı sonrası)</t>
        </is>
      </c>
      <c r="C26" s="21" t="n">
        <v>1</v>
      </c>
      <c r="D26" s="22" t="n"/>
      <c r="E26" s="23">
        <f>C26*D26</f>
        <v/>
      </c>
    </row>
    <row r="27">
      <c r="B27" s="24" t="n"/>
      <c r="C27" s="24" t="n"/>
      <c r="D27" s="25" t="inlineStr">
        <is>
          <t>WEB TOPLAM</t>
        </is>
      </c>
      <c r="E27" s="26">
        <f>SUM(E18:E26)</f>
        <v/>
      </c>
    </row>
    <row r="29">
      <c r="B29" s="17" t="inlineStr">
        <is>
          <t>3 · SİSTEM — Sosyal Medya Kurulumu — tek seferlik</t>
        </is>
      </c>
      <c r="C29" s="18" t="n"/>
      <c r="D29" s="18" t="n"/>
      <c r="E29" s="18" t="n"/>
    </row>
    <row r="30">
      <c r="B30" s="19" t="inlineStr">
        <is>
          <t>Kalem</t>
        </is>
      </c>
      <c r="C30" s="20" t="inlineStr">
        <is>
          <t>Adet</t>
        </is>
      </c>
      <c r="D30" s="20" t="inlineStr">
        <is>
          <t>Birim Fiyatı</t>
        </is>
      </c>
      <c r="E30" s="20" t="inlineStr">
        <is>
          <t>Toplam</t>
        </is>
      </c>
    </row>
    <row r="31">
      <c r="B31" s="9" t="inlineStr">
        <is>
          <t>Profil optimizasyonu (YouTube/IG/FB/LinkedIn)</t>
        </is>
      </c>
      <c r="C31" s="21" t="n">
        <v>1</v>
      </c>
      <c r="D31" s="22" t="n"/>
      <c r="E31" s="23">
        <f>C31*D31</f>
        <v/>
      </c>
    </row>
    <row r="32">
      <c r="B32" s="9" t="inlineStr">
        <is>
          <t>Platform görsel kiti + gönderi şablonları</t>
        </is>
      </c>
      <c r="C32" s="21" t="n">
        <v>1</v>
      </c>
      <c r="D32" s="22" t="n"/>
      <c r="E32" s="23">
        <f>C32*D32</f>
        <v/>
      </c>
    </row>
    <row r="33">
      <c r="B33" s="24" t="n"/>
      <c r="C33" s="24" t="n"/>
      <c r="D33" s="25" t="inlineStr">
        <is>
          <t>SOSYAL KURULUM TOPLAM</t>
        </is>
      </c>
      <c r="E33" s="26">
        <f>SUM(E31:E32)</f>
        <v/>
      </c>
    </row>
    <row r="35">
      <c r="B35" s="17" t="inlineStr">
        <is>
          <t>4 · SİSTEM — Kampanya Çekimi (D1) — tek seferlik</t>
        </is>
      </c>
      <c r="C35" s="18" t="n"/>
      <c r="D35" s="18" t="n"/>
      <c r="E35" s="18" t="n"/>
    </row>
    <row r="36">
      <c r="B36" s="19" t="inlineStr">
        <is>
          <t>Kalem</t>
        </is>
      </c>
      <c r="C36" s="20" t="inlineStr">
        <is>
          <t>Adet</t>
        </is>
      </c>
      <c r="D36" s="20" t="inlineStr">
        <is>
          <t>Birim Fiyatı</t>
        </is>
      </c>
      <c r="E36" s="20" t="inlineStr">
        <is>
          <t>Toplam</t>
        </is>
      </c>
    </row>
    <row r="37">
      <c r="B37" s="9" t="inlineStr">
        <is>
          <t>Yaratıcı yön + brief (çekirdek görsel dili)</t>
        </is>
      </c>
      <c r="C37" s="21" t="n">
        <v>1</v>
      </c>
      <c r="D37" s="22" t="n"/>
      <c r="E37" s="23">
        <f>C37*D37</f>
        <v/>
      </c>
    </row>
    <row r="38">
      <c r="B38" s="9" t="inlineStr">
        <is>
          <t>Çekim: fotoğraf + ~4 dk marka filmi</t>
        </is>
      </c>
      <c r="C38" s="21" t="n">
        <v>1</v>
      </c>
      <c r="D38" s="22" t="n"/>
      <c r="E38" s="23">
        <f>C38*D38</f>
        <v/>
      </c>
    </row>
    <row r="39">
      <c r="B39" s="9" t="inlineStr">
        <is>
          <t>Video ekibi (yönetmen / görüntü yön. / asistan / drone)</t>
        </is>
      </c>
      <c r="C39" s="21" t="n">
        <v>1</v>
      </c>
      <c r="D39" s="22" t="n"/>
      <c r="E39" s="23">
        <f>C39*D39</f>
        <v/>
      </c>
    </row>
    <row r="40">
      <c r="B40" s="9" t="inlineStr">
        <is>
          <t>Post: kurgu / renk / ses-müzik lisansı / retouch</t>
        </is>
      </c>
      <c r="C40" s="21" t="n">
        <v>1</v>
      </c>
      <c r="D40" s="22" t="n"/>
      <c r="E40" s="23">
        <f>C40*D40</f>
        <v/>
      </c>
    </row>
    <row r="41">
      <c r="B41" s="9" t="inlineStr">
        <is>
          <t>Altyazı / lokalizasyon (TR/EN/AR/RU)</t>
        </is>
      </c>
      <c r="C41" s="21" t="n">
        <v>1</v>
      </c>
      <c r="D41" s="22" t="n"/>
      <c r="E41" s="23">
        <f>C41*D41</f>
        <v/>
      </c>
    </row>
    <row r="42">
      <c r="B42" s="9" t="inlineStr">
        <is>
          <t>Cast: gerçek hasta (izin / telif)</t>
        </is>
      </c>
      <c r="C42" s="21" t="n">
        <v>1</v>
      </c>
      <c r="D42" s="22" t="n"/>
      <c r="E42" s="23">
        <f>C42*D42</f>
        <v/>
      </c>
    </row>
    <row r="43">
      <c r="B43" s="9" t="inlineStr">
        <is>
          <t>Mekan / lojistik / catering</t>
        </is>
      </c>
      <c r="C43" s="21" t="n">
        <v>1</v>
      </c>
      <c r="D43" s="22" t="n"/>
      <c r="E43" s="23">
        <f>C43*D43</f>
        <v/>
      </c>
    </row>
    <row r="44">
      <c r="B44" s="9" t="inlineStr">
        <is>
          <t>Telif — Global kullanım (web+4 ülke sosyal)</t>
        </is>
      </c>
      <c r="C44" s="21" t="n">
        <v>1</v>
      </c>
      <c r="D44" s="22" t="n"/>
      <c r="E44" s="23">
        <f>C44*D44</f>
        <v/>
      </c>
    </row>
    <row r="45">
      <c r="B45" s="24" t="n"/>
      <c r="C45" s="24" t="n"/>
      <c r="D45" s="25" t="inlineStr">
        <is>
          <t>KAMPANYA ÇEKİMİ TOPLAM</t>
        </is>
      </c>
      <c r="E45" s="26">
        <f>SUM(E37:E44)</f>
        <v/>
      </c>
    </row>
    <row r="46">
      <c r="B46" s="27" t="inlineStr">
        <is>
          <t>Not: Çekimin detay dökümü ayrı 'Bütçe Teklif Formu (Kampanya Çekimi)' Drive dosyasında.</t>
        </is>
      </c>
    </row>
    <row r="48">
      <c r="B48" s="13" t="inlineStr">
        <is>
          <t>TEK SEFERLİK ARA TOPLAM (Çekirdek + Sistem kuruluş)</t>
        </is>
      </c>
      <c r="C48" s="14" t="n"/>
      <c r="D48" s="14" t="n"/>
      <c r="E48" s="15">
        <f>E14+E27+E33+E45</f>
        <v/>
      </c>
    </row>
    <row r="49">
      <c r="C49" s="28" t="n">
        <v>0</v>
      </c>
      <c r="D49" s="29" t="inlineStr">
        <is>
          <t>Hizmet Bedeli %</t>
        </is>
      </c>
      <c r="E49" s="30">
        <f>E48*C49</f>
        <v/>
      </c>
    </row>
    <row r="50">
      <c r="B50" s="13" t="inlineStr">
        <is>
          <t>TEK SEFERLİK GENEL TOPLAM (KDV hariç)</t>
        </is>
      </c>
      <c r="C50" s="14" t="n"/>
      <c r="D50" s="14" t="n"/>
      <c r="E50" s="15">
        <f>E48+E49</f>
        <v/>
      </c>
    </row>
    <row r="52">
      <c r="B52" s="17" t="inlineStr">
        <is>
          <t>5 · AYLIK — Strateji + Görsel İçerik (Sistem işletimi)</t>
        </is>
      </c>
      <c r="C52" s="18" t="n"/>
      <c r="D52" s="18" t="n"/>
      <c r="E52" s="18" t="n"/>
    </row>
    <row r="53">
      <c r="B53" s="19" t="inlineStr">
        <is>
          <t>Kalem</t>
        </is>
      </c>
      <c r="C53" s="20" t="inlineStr">
        <is>
          <t>Adet</t>
        </is>
      </c>
      <c r="D53" s="20" t="inlineStr">
        <is>
          <t>Birim Fiyatı</t>
        </is>
      </c>
      <c r="E53" s="20" t="inlineStr">
        <is>
          <t>Toplam</t>
        </is>
      </c>
    </row>
    <row r="54">
      <c r="B54" s="9" t="inlineStr">
        <is>
          <t>Aylık strateji yönü (yurtdışı hasta funnel)</t>
        </is>
      </c>
      <c r="C54" s="21" t="n">
        <v>1</v>
      </c>
      <c r="D54" s="22" t="n"/>
      <c r="E54" s="23">
        <f>C54*D54</f>
        <v/>
      </c>
    </row>
    <row r="55">
      <c r="B55" s="9" t="inlineStr">
        <is>
          <t>Görsel içerik üretimi (… adet/ay)</t>
        </is>
      </c>
      <c r="C55" s="21" t="n">
        <v>1</v>
      </c>
      <c r="D55" s="22" t="n"/>
      <c r="E55" s="23">
        <f>C55*D55</f>
        <v/>
      </c>
    </row>
    <row r="56">
      <c r="B56" s="9" t="inlineStr">
        <is>
          <t>İçerik metinleri (compliance-aware)</t>
        </is>
      </c>
      <c r="C56" s="21" t="n">
        <v>1</v>
      </c>
      <c r="D56" s="22" t="n"/>
      <c r="E56" s="23">
        <f>C56*D56</f>
        <v/>
      </c>
    </row>
    <row r="57">
      <c r="B57" s="9" t="inlineStr">
        <is>
          <t>Marka tutarlılığı denetimi</t>
        </is>
      </c>
      <c r="C57" s="21" t="n">
        <v>1</v>
      </c>
      <c r="D57" s="22" t="n"/>
      <c r="E57" s="23">
        <f>C57*D57</f>
        <v/>
      </c>
    </row>
    <row r="58">
      <c r="B58" s="9" t="inlineStr">
        <is>
          <t>Raporlama &amp; aylık değerlendirme</t>
        </is>
      </c>
      <c r="C58" s="21" t="n">
        <v>1</v>
      </c>
      <c r="D58" s="22" t="n"/>
      <c r="E58" s="23">
        <f>C58*D58</f>
        <v/>
      </c>
    </row>
    <row r="59">
      <c r="B59" s="9" t="inlineStr">
        <is>
          <t>Hukuk gate koordinasyonu</t>
        </is>
      </c>
      <c r="C59" s="21" t="n">
        <v>1</v>
      </c>
      <c r="D59" s="22" t="n"/>
      <c r="E59" s="23">
        <f>C59*D59</f>
        <v/>
      </c>
    </row>
    <row r="60">
      <c r="B60" s="24" t="n"/>
      <c r="C60" s="24" t="n"/>
      <c r="D60" s="25" t="inlineStr">
        <is>
          <t>AYLIK TOPLAM</t>
        </is>
      </c>
      <c r="E60" s="26">
        <f>SUM(E54:E59)</f>
        <v/>
      </c>
    </row>
    <row r="61">
      <c r="B61" s="31" t="inlineStr">
        <is>
          <t>Dönem (ay)</t>
        </is>
      </c>
      <c r="C61" s="32" t="n">
        <v>12</v>
      </c>
      <c r="D61" s="33" t="inlineStr">
        <is>
          <t>Dönem Toplamı</t>
        </is>
      </c>
      <c r="E61" s="26">
        <f>E60*C61</f>
        <v/>
      </c>
    </row>
    <row r="63">
      <c r="B63" s="27" t="inlineStr">
        <is>
          <t>Sarı hücreler (Adet / Birim Fiyatı / Süre / Hizmet %) = doldurulacak girdiler.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2026-06-29T23:13:32Z</dcterms:created>
  <dcterms:modified xmlns:dcterms="http://purl.org/dc/terms/" xmlns:xsi="http://www.w3.org/2001/XMLSchema-instance" xsi:type="dcterms:W3CDTF">2026-06-29T23:13:32Z</dcterms:modified>
</cp:coreProperties>
</file>